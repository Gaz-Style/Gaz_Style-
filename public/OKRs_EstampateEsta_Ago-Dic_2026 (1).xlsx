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Seguimiento Mensual" sheetId="2" r:id="rId5"/>
    <sheet state="visible" name="Resumen OKRs" sheetId="3" r:id="rId6"/>
  </sheets>
  <definedNames/>
  <calcPr/>
  <extLst>
    <ext uri="GoogleSheetsCustomDataVersion2">
      <go:sheetsCustomData xmlns:go="http://customooxmlschemas.google.com/" r:id="rId7" roundtripDataChecksum="l3IlRWPlA1kQlCA5L3oWl6efymPmeujdnUZ0Ied4304="/>
    </ext>
  </extLst>
</workbook>
</file>

<file path=xl/sharedStrings.xml><?xml version="1.0" encoding="utf-8"?>
<sst xmlns="http://schemas.openxmlformats.org/spreadsheetml/2006/main" count="62" uniqueCount="59">
  <si>
    <t>OKRs Estampate Esta — Agosto a Diciembre 2026</t>
  </si>
  <si>
    <t>Objetivo</t>
  </si>
  <si>
    <t>Cómo usar esta planilla</t>
  </si>
  <si>
    <t>1. Ve a la pestaña 'Seguimiento Mensual'. Ahí están los 2 Objetivos (Ventas/Pedidos y Alcance en redes) y sus Resultados Clave (KR).</t>
  </si>
  <si>
    <t>Resultado Clave (KR)</t>
  </si>
  <si>
    <t>2. Las columnas 'Meta Ago' a 'Meta Dic' ya están definidas (en azul). Para ventas y pedidos son metas MENSUALES (no acumuladas); para seguidores, publicaciones y likes son ACUMULADAS.</t>
  </si>
  <si>
    <t>Métrica</t>
  </si>
  <si>
    <t>3. Cada fin de mes, completa la columna 'Real' correspondiente con el valor de ese mes.</t>
  </si>
  <si>
    <t>Baseline (mes 1)</t>
  </si>
  <si>
    <t>4. Las columnas 'Avance Actual', 'Meta al Mes Actual', '% Cumplimiento' y 'Estado' se calculan solas — no las edites. Comparan automáticamente tu último dato ingresado contra la meta de ESE mismo mes.</t>
  </si>
  <si>
    <t>Meta Ago</t>
  </si>
  <si>
    <t>5. La celda D-Pedidos está resaltada en amarillo: reemplázala por tu número real de pedidos del primer mes (estimado en 20). Las metas de esa fila se recalculan solas.</t>
  </si>
  <si>
    <t>Meta Sep</t>
  </si>
  <si>
    <t>6. La pestaña 'Resumen OKRs' promedia el % de cumplimiento de cada Objetivo automáticamente.</t>
  </si>
  <si>
    <t>Meta Oct</t>
  </si>
  <si>
    <t>Supuestos y notas</t>
  </si>
  <si>
    <t>Meta Nov</t>
  </si>
  <si>
    <t>- Baseline (mes 1, terminado ~27 de julio 2026): Ventas $150.980 | Costo $59.680 | Margen declarado $74.800 (49,5% sobre ventas).</t>
  </si>
  <si>
    <t>Meta Dic</t>
  </si>
  <si>
    <t xml:space="preserve">  Nota: Ventas - Costo = $91.300, no $74.800. Puede haber costos adicionales no incluidos en 'Costo' (comisiones, envío, insumos extra). Ajusta si corresponde.</t>
  </si>
  <si>
    <t>Real Ago</t>
  </si>
  <si>
    <t>- Meta de ventas: duplicar la venta mensual del mes 1 para diciembre 2026, con una rampa de crecimiento gradual (+10%, +25%, +50%, +75%, +100%).</t>
  </si>
  <si>
    <t>Real Sep</t>
  </si>
  <si>
    <t>- Meta de pedidos: la cifra base (20 pedidos) es una estimación — reemplázala por tu dato real; los targets escalan con el mismo % que las ventas.</t>
  </si>
  <si>
    <t>- Meta de margen: se fija como piso a mantener (49,5%), no solo a crecer en ventas sin cuidar rentabilidad.</t>
  </si>
  <si>
    <t>Real Oct</t>
  </si>
  <si>
    <t>- Seguidores Instagram: base 394 (cuenta reactivada), meta +70% acumulado a diciembre (crecimiento moderado, cuenta ya establecida).</t>
  </si>
  <si>
    <t>Resumen OKRs Estampate Esta — Agosto a Diciembre 2026</t>
  </si>
  <si>
    <t>Real Nov</t>
  </si>
  <si>
    <t>- Seguidores TikTok: base 46, meta 300 a diciembre — crecimiento más agresivo porque la cuenta está en etapa temprana y ya muestra tracción orgánica con contenido.</t>
  </si>
  <si>
    <t>- Publicaciones (IG + TikTok combinadas): meta de ritmo de contenido, clave para sostener el crecimiento de alcance.</t>
  </si>
  <si>
    <t>Real Dic</t>
  </si>
  <si>
    <t>- Interacciones/likes acumulados: mide si el contenido genera enganche real, no solo alcance.</t>
  </si>
  <si>
    <t>Avance Actual</t>
  </si>
  <si>
    <t>- Estado: Cumplido = 100% o más de la meta del mes | En curso = 70% a 99% | Atrasado = menos de 70% | Sin datos = mes aún no registrado.</t>
  </si>
  <si>
    <t>Meta al Mes Actual</t>
  </si>
  <si>
    <t>% Cumplimiento</t>
  </si>
  <si>
    <t>Estado</t>
  </si>
  <si>
    <t>Periodo: 1 de agosto 2026 al 31 de diciembre 2026</t>
  </si>
  <si>
    <t>Escalar ventas y pedidos de Estampate Esta</t>
  </si>
  <si>
    <t>Duplicar la venta mensual respecto al mes 1</t>
  </si>
  <si>
    <t>Ventas mensuales ($)</t>
  </si>
  <si>
    <t>N° de KRs</t>
  </si>
  <si>
    <t>% Avance Promedio</t>
  </si>
  <si>
    <t>Estado General</t>
  </si>
  <si>
    <t>Aumentar alcance y comunidad en Instagram y TikTok</t>
  </si>
  <si>
    <t>Escalar el número de pedidos en la misma proporción</t>
  </si>
  <si>
    <t>Pedidos mensuales (#)</t>
  </si>
  <si>
    <t>Mantener o mejorar el margen sobre ventas</t>
  </si>
  <si>
    <t>Margen sobre ventas (%)</t>
  </si>
  <si>
    <t>Crecer la comunidad en Instagram</t>
  </si>
  <si>
    <t>Seguidores Instagram (acumulado)</t>
  </si>
  <si>
    <t>Crecer la comunidad en TikTok</t>
  </si>
  <si>
    <t>Seguidores TikTok (acumulado)</t>
  </si>
  <si>
    <t>Publicar contenido de forma consistente (IG + TikTok)</t>
  </si>
  <si>
    <t>Publicaciones acumuladas</t>
  </si>
  <si>
    <t>Generar interacción/engagement real</t>
  </si>
  <si>
    <t>Likes/interacciones acumuladas</t>
  </si>
  <si>
    <t>Diferencia venta real v/s proyectada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</si>
</sst>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0.0%"/>
  </numFmts>
  <fonts count="11">
    <font>
      <sz val="11.0"/>
      <color theme="1"/>
      <name val="Calibri"/>
      <scheme val="minor"/>
    </font>
    <font>
      <b/>
      <sz val="14.0"/>
      <color rgb="FF7A2E2E"/>
      <name val="Arial"/>
    </font>
    <font>
      <b/>
      <sz val="12.0"/>
      <color theme="1"/>
      <name val="Arial"/>
    </font>
    <font>
      <b/>
      <sz val="11.0"/>
      <color rgb="FFFFFFFF"/>
      <name val="Arial"/>
    </font>
    <font>
      <sz val="10.0"/>
      <color theme="1"/>
      <name val="Arial"/>
    </font>
    <font>
      <i/>
      <sz val="10.0"/>
      <color rgb="FF555555"/>
      <name val="Arial"/>
    </font>
    <font>
      <b/>
      <sz val="10.0"/>
      <color theme="1"/>
      <name val="Arial"/>
    </font>
    <font>
      <sz val="10.0"/>
      <color rgb="FF000000"/>
      <name val="Arial"/>
    </font>
    <font/>
    <font>
      <sz val="10.0"/>
      <color rgb="FF0000FF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7A2E2E"/>
        <bgColor rgb="FF7A2E2E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Font="1"/>
    <xf borderId="2" fillId="0" fontId="6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7" numFmtId="164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3" fontId="4" numFmtId="164" xfId="0" applyAlignment="1" applyBorder="1" applyFill="1" applyFont="1" applyNumberFormat="1">
      <alignment horizontal="center" readingOrder="0" shrinkToFit="0" vertical="center" wrapText="1"/>
    </xf>
    <xf borderId="1" fillId="0" fontId="7" numFmtId="9" xfId="0" applyAlignment="1" applyBorder="1" applyFont="1" applyNumberFormat="1">
      <alignment horizontal="center" shrinkToFit="0" vertical="center" wrapText="1"/>
    </xf>
    <xf borderId="1" fillId="3" fontId="4" numFmtId="164" xfId="0" applyAlignment="1" applyBorder="1" applyFill="1" applyFont="1" applyNumberFormat="1">
      <alignment horizontal="center" shrinkToFit="0" vertical="center" wrapText="1"/>
    </xf>
    <xf borderId="3" fillId="0" fontId="8" numFmtId="0" xfId="0" applyBorder="1" applyFont="1"/>
    <xf borderId="1" fillId="4" fontId="9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4" fillId="0" fontId="8" numFmtId="0" xfId="0" applyBorder="1" applyFont="1"/>
    <xf borderId="1" fillId="0" fontId="4" numFmtId="165" xfId="0" applyAlignment="1" applyBorder="1" applyFont="1" applyNumberFormat="1">
      <alignment horizontal="center" shrinkToFit="0" vertical="center" wrapText="1"/>
    </xf>
    <xf borderId="1" fillId="0" fontId="7" numFmtId="165" xfId="0" applyAlignment="1" applyBorder="1" applyFont="1" applyNumberFormat="1">
      <alignment horizontal="center" shrinkToFit="0" vertical="center" wrapText="1"/>
    </xf>
    <xf borderId="1" fillId="3" fontId="4" numFmtId="165" xfId="0" applyAlignment="1" applyBorder="1" applyFill="1" applyFont="1" applyNumberFormat="1">
      <alignment horizontal="center" readingOrder="0" shrinkToFit="0" vertical="center" wrapText="1"/>
    </xf>
    <xf borderId="1" fillId="3" fontId="4" numFmtId="165" xfId="0" applyAlignment="1" applyBorder="1" applyFill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readingOrder="0"/>
    </xf>
    <xf borderId="0" fillId="0" fontId="10" numFmtId="164" xfId="0" applyFont="1" applyNumberForma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5.0"/>
    <col customWidth="1" min="2" max="26" width="8.71"/>
  </cols>
  <sheetData>
    <row r="1">
      <c r="A1" s="1" t="s">
        <v>0</v>
      </c>
    </row>
    <row r="2">
      <c r="A2" s="2" t="s">
        <v>2</v>
      </c>
    </row>
    <row r="3">
      <c r="A3" s="4" t="s">
        <v>3</v>
      </c>
    </row>
    <row r="4">
      <c r="A4" s="4" t="s">
        <v>5</v>
      </c>
    </row>
    <row r="5">
      <c r="A5" s="4" t="s">
        <v>7</v>
      </c>
    </row>
    <row r="6">
      <c r="A6" s="4" t="s">
        <v>9</v>
      </c>
    </row>
    <row r="7">
      <c r="A7" s="4" t="s">
        <v>11</v>
      </c>
    </row>
    <row r="8">
      <c r="A8" s="4" t="s">
        <v>13</v>
      </c>
    </row>
    <row r="10">
      <c r="A10" s="2" t="s">
        <v>15</v>
      </c>
    </row>
    <row r="11">
      <c r="A11" s="4" t="s">
        <v>17</v>
      </c>
    </row>
    <row r="12">
      <c r="A12" s="4" t="s">
        <v>19</v>
      </c>
    </row>
    <row r="13">
      <c r="A13" s="4" t="s">
        <v>21</v>
      </c>
    </row>
    <row r="14">
      <c r="A14" s="4" t="s">
        <v>23</v>
      </c>
    </row>
    <row r="15">
      <c r="A15" s="4" t="s">
        <v>24</v>
      </c>
    </row>
    <row r="16">
      <c r="A16" s="4" t="s">
        <v>26</v>
      </c>
    </row>
    <row r="17">
      <c r="A17" s="4" t="s">
        <v>29</v>
      </c>
    </row>
    <row r="18">
      <c r="A18" s="4" t="s">
        <v>30</v>
      </c>
    </row>
    <row r="19">
      <c r="A19" s="4" t="s">
        <v>32</v>
      </c>
    </row>
    <row r="20">
      <c r="A20" s="4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1" width="31.71"/>
    <col customWidth="1" min="2" max="2" width="36.0"/>
    <col customWidth="1" min="3" max="3" width="30.0"/>
    <col customWidth="1" min="4" max="4" width="14.0"/>
    <col customWidth="1" min="5" max="14" width="10.0"/>
    <col customWidth="1" min="15" max="15" width="12.0"/>
    <col customWidth="1" min="16" max="16" width="14.0"/>
    <col customWidth="1" min="17" max="17" width="13.0"/>
    <col customWidth="1" min="18" max="18" width="14.0"/>
    <col customWidth="1" min="19" max="26" width="8.71"/>
  </cols>
  <sheetData>
    <row r="1" ht="31.5" customHeight="1">
      <c r="A1" s="3" t="s">
        <v>1</v>
      </c>
      <c r="B1" s="3" t="s">
        <v>4</v>
      </c>
      <c r="C1" s="3" t="s">
        <v>6</v>
      </c>
      <c r="D1" s="3" t="s">
        <v>8</v>
      </c>
      <c r="E1" s="3" t="s">
        <v>10</v>
      </c>
      <c r="F1" s="3" t="s">
        <v>12</v>
      </c>
      <c r="G1" s="3" t="s">
        <v>14</v>
      </c>
      <c r="H1" s="3" t="s">
        <v>16</v>
      </c>
      <c r="I1" s="3" t="s">
        <v>18</v>
      </c>
      <c r="J1" s="3" t="s">
        <v>20</v>
      </c>
      <c r="K1" s="3" t="s">
        <v>22</v>
      </c>
      <c r="L1" s="3" t="s">
        <v>25</v>
      </c>
      <c r="M1" s="3" t="s">
        <v>28</v>
      </c>
      <c r="N1" s="3" t="s">
        <v>31</v>
      </c>
      <c r="O1" s="3" t="s">
        <v>33</v>
      </c>
      <c r="P1" s="3" t="s">
        <v>35</v>
      </c>
      <c r="Q1" s="3" t="s">
        <v>36</v>
      </c>
      <c r="R1" s="3" t="s">
        <v>37</v>
      </c>
    </row>
    <row r="2" ht="23.25" customHeight="1">
      <c r="A2" s="6" t="s">
        <v>39</v>
      </c>
      <c r="B2" s="7" t="s">
        <v>40</v>
      </c>
      <c r="C2" s="7" t="s">
        <v>41</v>
      </c>
      <c r="D2" s="8">
        <v>150980.0</v>
      </c>
      <c r="E2" s="10">
        <f t="shared" ref="E2:E3" si="1">ROUND($D2*1.1,0)</f>
        <v>166078</v>
      </c>
      <c r="F2" s="10">
        <f t="shared" ref="F2:F3" si="2">ROUND($D2*1.25,0)</f>
        <v>188725</v>
      </c>
      <c r="G2" s="10">
        <f t="shared" ref="G2:G3" si="3">ROUND($D2*1.5,0)</f>
        <v>226470</v>
      </c>
      <c r="H2" s="10">
        <f t="shared" ref="H2:H3" si="4">ROUND($D2*1.75,0)</f>
        <v>264215</v>
      </c>
      <c r="I2" s="10">
        <f t="shared" ref="I2:I3" si="5">ROUND($D2*2,0)</f>
        <v>301960</v>
      </c>
      <c r="J2" s="12">
        <v>308860.0</v>
      </c>
      <c r="K2" s="12">
        <v>75980.0</v>
      </c>
      <c r="L2" s="12">
        <v>49980.0</v>
      </c>
      <c r="M2" s="14"/>
      <c r="N2" s="14"/>
      <c r="O2" s="10">
        <f t="shared" ref="O2:O8" si="6">IFERROR(LOOKUP(1.E+308,J2:N2),"")</f>
        <v>49980</v>
      </c>
      <c r="P2" s="10">
        <f t="shared" ref="P2:P8" si="7">IFERROR(INDEX(E2:I2,MATCH(1.E+308,J2:N2,1)),"")</f>
        <v>226470</v>
      </c>
      <c r="Q2" s="13">
        <f t="shared" ref="Q2:Q8" si="8">IFERROR(IF(O2="","",O2/P2),"")</f>
        <v>0.2206914823</v>
      </c>
      <c r="R2" s="11" t="str">
        <f t="shared" ref="R2:R8" si="9">IF(O2="","⚪ Sin datos",IF(Q2&gt;=1,"✅ Cumplido",IF(Q2&gt;=0.7,"🟡 En curso","🔴 Atrasado")))</f>
        <v>🔴 Atrasado</v>
      </c>
    </row>
    <row r="3">
      <c r="A3" s="15"/>
      <c r="B3" s="7" t="s">
        <v>46</v>
      </c>
      <c r="C3" s="7" t="s">
        <v>47</v>
      </c>
      <c r="D3" s="16">
        <v>8.0</v>
      </c>
      <c r="E3" s="11">
        <f t="shared" si="1"/>
        <v>9</v>
      </c>
      <c r="F3" s="11">
        <f t="shared" si="2"/>
        <v>10</v>
      </c>
      <c r="G3" s="11">
        <f t="shared" si="3"/>
        <v>12</v>
      </c>
      <c r="H3" s="11">
        <f t="shared" si="4"/>
        <v>14</v>
      </c>
      <c r="I3" s="11">
        <f t="shared" si="5"/>
        <v>16</v>
      </c>
      <c r="J3" s="17">
        <v>21.0</v>
      </c>
      <c r="K3" s="17">
        <v>7.0</v>
      </c>
      <c r="L3" s="17">
        <v>3.0</v>
      </c>
      <c r="M3" s="18"/>
      <c r="N3" s="18"/>
      <c r="O3" s="11">
        <f t="shared" si="6"/>
        <v>3</v>
      </c>
      <c r="P3" s="11">
        <f t="shared" si="7"/>
        <v>12</v>
      </c>
      <c r="Q3" s="13">
        <f t="shared" si="8"/>
        <v>0.25</v>
      </c>
      <c r="R3" s="11" t="str">
        <f t="shared" si="9"/>
        <v>🔴 Atrasado</v>
      </c>
    </row>
    <row r="4">
      <c r="A4" s="19"/>
      <c r="B4" s="7" t="s">
        <v>48</v>
      </c>
      <c r="C4" s="7" t="s">
        <v>49</v>
      </c>
      <c r="D4" s="20">
        <v>0.4954</v>
      </c>
      <c r="E4" s="21">
        <f t="shared" ref="E4:I4" si="10">$D4</f>
        <v>0.4954</v>
      </c>
      <c r="F4" s="21">
        <f t="shared" si="10"/>
        <v>0.4954</v>
      </c>
      <c r="G4" s="21">
        <f t="shared" si="10"/>
        <v>0.4954</v>
      </c>
      <c r="H4" s="21">
        <f t="shared" si="10"/>
        <v>0.4954</v>
      </c>
      <c r="I4" s="21">
        <f t="shared" si="10"/>
        <v>0.4954</v>
      </c>
      <c r="J4" s="22">
        <v>0.5538</v>
      </c>
      <c r="K4" s="22">
        <v>0.588</v>
      </c>
      <c r="L4" s="22">
        <v>0.471</v>
      </c>
      <c r="M4" s="23"/>
      <c r="N4" s="23"/>
      <c r="O4" s="21">
        <f t="shared" si="6"/>
        <v>0.471</v>
      </c>
      <c r="P4" s="21">
        <f t="shared" si="7"/>
        <v>0.4954</v>
      </c>
      <c r="Q4" s="13">
        <f t="shared" si="8"/>
        <v>0.9507468712</v>
      </c>
      <c r="R4" s="11" t="str">
        <f t="shared" si="9"/>
        <v>🟡 En curso</v>
      </c>
    </row>
    <row r="5" ht="15.0" customHeight="1">
      <c r="A5" s="6" t="s">
        <v>45</v>
      </c>
      <c r="B5" s="7" t="s">
        <v>50</v>
      </c>
      <c r="C5" s="7" t="s">
        <v>51</v>
      </c>
      <c r="D5" s="24">
        <v>394.0</v>
      </c>
      <c r="E5" s="25">
        <v>400.0</v>
      </c>
      <c r="F5" s="25">
        <v>410.0</v>
      </c>
      <c r="G5" s="25">
        <v>420.0</v>
      </c>
      <c r="H5" s="25">
        <v>430.0</v>
      </c>
      <c r="I5" s="25">
        <v>440.0</v>
      </c>
      <c r="J5" s="17">
        <v>396.0</v>
      </c>
      <c r="K5" s="17">
        <v>398.0</v>
      </c>
      <c r="L5" s="17">
        <v>399.0</v>
      </c>
      <c r="M5" s="18"/>
      <c r="N5" s="18"/>
      <c r="O5" s="11">
        <f t="shared" si="6"/>
        <v>399</v>
      </c>
      <c r="P5" s="11">
        <f t="shared" si="7"/>
        <v>420</v>
      </c>
      <c r="Q5" s="13">
        <f t="shared" si="8"/>
        <v>0.95</v>
      </c>
      <c r="R5" s="11" t="str">
        <f t="shared" si="9"/>
        <v>🟡 En curso</v>
      </c>
    </row>
    <row r="6">
      <c r="A6" s="15"/>
      <c r="B6" s="7" t="s">
        <v>52</v>
      </c>
      <c r="C6" s="7" t="s">
        <v>53</v>
      </c>
      <c r="D6" s="24">
        <v>46.0</v>
      </c>
      <c r="E6" s="25">
        <v>100.0</v>
      </c>
      <c r="F6" s="25">
        <v>150.0</v>
      </c>
      <c r="G6" s="25">
        <v>200.0</v>
      </c>
      <c r="H6" s="25">
        <v>250.0</v>
      </c>
      <c r="I6" s="25">
        <v>300.0</v>
      </c>
      <c r="J6" s="17">
        <v>68.0</v>
      </c>
      <c r="K6" s="17">
        <v>75.0</v>
      </c>
      <c r="L6" s="17">
        <v>76.0</v>
      </c>
      <c r="M6" s="18"/>
      <c r="N6" s="18"/>
      <c r="O6" s="11">
        <f t="shared" si="6"/>
        <v>76</v>
      </c>
      <c r="P6" s="11">
        <f t="shared" si="7"/>
        <v>200</v>
      </c>
      <c r="Q6" s="13">
        <f t="shared" si="8"/>
        <v>0.38</v>
      </c>
      <c r="R6" s="11" t="str">
        <f t="shared" si="9"/>
        <v>🔴 Atrasado</v>
      </c>
    </row>
    <row r="7">
      <c r="A7" s="15"/>
      <c r="B7" s="7" t="s">
        <v>54</v>
      </c>
      <c r="C7" s="7" t="s">
        <v>55</v>
      </c>
      <c r="D7" s="26">
        <v>9.0</v>
      </c>
      <c r="E7" s="25">
        <v>17.0</v>
      </c>
      <c r="F7" s="25">
        <v>34.0</v>
      </c>
      <c r="G7" s="25">
        <v>51.0</v>
      </c>
      <c r="H7" s="25">
        <v>68.0</v>
      </c>
      <c r="I7" s="25">
        <v>85.0</v>
      </c>
      <c r="J7" s="18"/>
      <c r="K7" s="18"/>
      <c r="L7" s="18"/>
      <c r="M7" s="18"/>
      <c r="N7" s="18"/>
      <c r="O7" s="11" t="str">
        <f t="shared" si="6"/>
        <v/>
      </c>
      <c r="P7" s="11" t="str">
        <f t="shared" si="7"/>
        <v/>
      </c>
      <c r="Q7" s="13" t="str">
        <f t="shared" si="8"/>
        <v/>
      </c>
      <c r="R7" s="11" t="str">
        <f t="shared" si="9"/>
        <v>⚪ Sin datos</v>
      </c>
    </row>
    <row r="8">
      <c r="A8" s="19"/>
      <c r="B8" s="7" t="s">
        <v>56</v>
      </c>
      <c r="C8" s="7" t="s">
        <v>57</v>
      </c>
      <c r="D8" s="24">
        <v>385.0</v>
      </c>
      <c r="E8" s="25">
        <v>600.0</v>
      </c>
      <c r="F8" s="25">
        <v>1000.0</v>
      </c>
      <c r="G8" s="25">
        <v>1500.0</v>
      </c>
      <c r="H8" s="25">
        <v>2000.0</v>
      </c>
      <c r="I8" s="25">
        <v>2500.0</v>
      </c>
      <c r="J8" s="18"/>
      <c r="K8" s="18"/>
      <c r="L8" s="18"/>
      <c r="M8" s="18"/>
      <c r="N8" s="18"/>
      <c r="O8" s="11" t="str">
        <f t="shared" si="6"/>
        <v/>
      </c>
      <c r="P8" s="11" t="str">
        <f t="shared" si="7"/>
        <v/>
      </c>
      <c r="Q8" s="13" t="str">
        <f t="shared" si="8"/>
        <v/>
      </c>
      <c r="R8" s="11" t="str">
        <f t="shared" si="9"/>
        <v>⚪ Sin datos</v>
      </c>
    </row>
    <row r="11">
      <c r="A11" s="27" t="s">
        <v>58</v>
      </c>
      <c r="J11" s="28">
        <f t="shared" ref="J11:N11" si="11">J2-E2</f>
        <v>142782</v>
      </c>
      <c r="K11" s="28">
        <f t="shared" si="11"/>
        <v>-112745</v>
      </c>
      <c r="L11" s="28">
        <f t="shared" si="11"/>
        <v>-176490</v>
      </c>
      <c r="M11" s="28">
        <f t="shared" si="11"/>
        <v>-264215</v>
      </c>
      <c r="N11" s="28">
        <f t="shared" si="11"/>
        <v>-301960</v>
      </c>
    </row>
    <row r="13">
      <c r="D13" s="28">
        <f t="shared" ref="D13:N13" si="12">D2/D3</f>
        <v>18872.5</v>
      </c>
      <c r="E13" s="28">
        <f t="shared" si="12"/>
        <v>18453.11111</v>
      </c>
      <c r="F13" s="28">
        <f t="shared" si="12"/>
        <v>18872.5</v>
      </c>
      <c r="G13" s="28">
        <f t="shared" si="12"/>
        <v>18872.5</v>
      </c>
      <c r="H13" s="28">
        <f t="shared" si="12"/>
        <v>18872.5</v>
      </c>
      <c r="I13" s="28">
        <f t="shared" si="12"/>
        <v>18872.5</v>
      </c>
      <c r="J13" s="28">
        <f t="shared" si="12"/>
        <v>14707.61905</v>
      </c>
      <c r="K13" s="28">
        <f t="shared" si="12"/>
        <v>10854.28571</v>
      </c>
      <c r="L13" s="28">
        <f t="shared" si="12"/>
        <v>16660</v>
      </c>
      <c r="M13" s="29" t="str">
        <f t="shared" si="12"/>
        <v>#DIV/0!</v>
      </c>
      <c r="N13" s="29" t="str">
        <f t="shared" si="12"/>
        <v>#DIV/0!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4"/>
    <mergeCell ref="A5:A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12.0"/>
    <col customWidth="1" min="3" max="3" width="20.0"/>
    <col customWidth="1" min="4" max="4" width="18.0"/>
    <col customWidth="1" min="5" max="26" width="8.71"/>
  </cols>
  <sheetData>
    <row r="1">
      <c r="A1" s="1" t="s">
        <v>27</v>
      </c>
    </row>
    <row r="2">
      <c r="A2" s="5" t="s">
        <v>38</v>
      </c>
    </row>
    <row r="4">
      <c r="A4" s="3" t="s">
        <v>1</v>
      </c>
      <c r="B4" s="3" t="s">
        <v>42</v>
      </c>
      <c r="C4" s="3" t="s">
        <v>43</v>
      </c>
      <c r="D4" s="3" t="s">
        <v>44</v>
      </c>
    </row>
    <row r="5">
      <c r="A5" s="9" t="s">
        <v>39</v>
      </c>
      <c r="B5" s="11">
        <f>COUNTA('Seguimiento Mensual'!B2:B4)</f>
        <v>3</v>
      </c>
      <c r="C5" s="13">
        <f>IFERROR(AVERAGE('Seguimiento Mensual'!Q2:Q4),"")</f>
        <v>0.4738127845</v>
      </c>
      <c r="D5" s="11" t="str">
        <f t="shared" ref="D5:D6" si="1">IF(C5="","⚪ Sin datos",IF(C5&gt;=1,"✅ Cumplido",IF(C5&gt;=0.7,"🟡 En curso","🔴 Atrasado")))</f>
        <v>🔴 Atrasado</v>
      </c>
    </row>
    <row r="6">
      <c r="A6" s="9" t="s">
        <v>45</v>
      </c>
      <c r="B6" s="11">
        <f>COUNTA('Seguimiento Mensual'!B5:B8)</f>
        <v>4</v>
      </c>
      <c r="C6" s="13">
        <f>IFERROR(AVERAGE('Seguimiento Mensual'!Q5:Q8),"")</f>
        <v>0.665</v>
      </c>
      <c r="D6" s="11" t="str">
        <f t="shared" si="1"/>
        <v>🔴 Atrasado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2026-07-27T20:50:41Z</dcterms:created>
  <dc:creator>openpyxl</dc:creator>
</cp:coreProperties>
</file>